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ice Calculator" sheetId="2" state="visible" r:id="rId4"/>
    <sheet name="Product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<sst xmlns="http://schemas.openxmlformats.org/spreadsheetml/2006/main" count="59" uniqueCount="55">
  <si>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Kotkoa shop — POD Pricing Assumptions</t>
  </si>
  <si>
    <t xml:space="preserve">Global % assumptions used by every product in 'Price Calculator' and 'Product List'.</t>
  </si>
  <si>
    <t xml:space="preserve">Assumption</t>
  </si>
  <si>
    <t xml:space="preserve">Value</t>
  </si>
  <si>
    <t xml:space="preserve">Notes</t>
  </si>
  <si>
    <t xml:space="preserve">Payment processing fee (%)</t>
  </si>
  <si>
    <t xml:space="preserve">Stripe / Shopify Payments standard rate</t>
  </si>
  <si>
    <t xml:space="preserve">Payment processing fixed fee ($)</t>
  </si>
  <si>
    <t xml:space="preserve">Per-transaction fixed fee (Stripe/Shopify Payments)</t>
  </si>
  <si>
    <t xml:space="preserve">Refund / reprint reserve (%)</t>
  </si>
  <si>
    <t xml:space="preserve">Buffer for returns, damaged prints, reprints</t>
  </si>
  <si>
    <t xml:space="preserve">Advertising reserve (%)</t>
  </si>
  <si>
    <t xml:space="preserve">Share of price reserved to cover ad spend (CAC). Lower once CPA stabilizes</t>
  </si>
  <si>
    <t xml:space="preserve">Target contribution margin (%)</t>
  </si>
  <si>
    <t xml:space="preserve">Desired profit left after all costs above</t>
  </si>
  <si>
    <t xml:space="preserve">VAT / IVA rate (%) — if prices are tax-inclusive</t>
  </si>
  <si>
    <t xml:space="preserve">Spain/EU: set &gt;0 only if displayed price must include VAT</t>
  </si>
  <si>
    <t xml:space="preserve">Formula used</t>
  </si>
  <si>
    <t xml:space="preserve">price = (product cost + shipping + fixed payment fee) / (1 − fee% − refund% − ad% − margin% − VAT%)</t>
  </si>
  <si>
    <t xml:space="preserve">Edit only the yellow cells. Everything else recalculates automatically.</t>
  </si>
  <si>
    <t xml:space="preserve">Single Product Price Calculator</t>
  </si>
  <si>
    <t xml:space="preserve">Product name</t>
  </si>
  <si>
    <t xml:space="preserve">Bella Canvas T-Shirt</t>
  </si>
  <si>
    <t xml:space="preserve">Cost inputs</t>
  </si>
  <si>
    <t xml:space="preserve">Printify product cost ($)</t>
  </si>
  <si>
    <t xml:space="preserve">Printify base cost for this product</t>
  </si>
  <si>
    <t xml:space="preserve">Printify shipping cost ($)</t>
  </si>
  <si>
    <t xml:space="preserve">From Printify shipping profile for chosen print location</t>
  </si>
  <si>
    <t xml:space="preserve">Calculated price</t>
  </si>
  <si>
    <t xml:space="preserve">Recommended sale price ($)</t>
  </si>
  <si>
    <t xml:space="preserve">Formula: (cost + shipping + fixed fee) / (1 − fee% − refund% − ad% − margin% − VAT%)</t>
  </si>
  <si>
    <t xml:space="preserve">Rounded sale price (psychological, .99)</t>
  </si>
  <si>
    <t xml:space="preserve">Rounds up to nearest whole dollar, then ends in .99</t>
  </si>
  <si>
    <t xml:space="preserve">Breakdown at rounded price</t>
  </si>
  <si>
    <t xml:space="preserve">Sale price</t>
  </si>
  <si>
    <t xml:space="preserve">Printify product cost</t>
  </si>
  <si>
    <t xml:space="preserve">Printify shipping</t>
  </si>
  <si>
    <t xml:space="preserve">Payment processing fee</t>
  </si>
  <si>
    <t xml:space="preserve">Refund / reprint reserve</t>
  </si>
  <si>
    <t xml:space="preserve">Advertising reserve</t>
  </si>
  <si>
    <t xml:space="preserve">VAT / IVA (if applicable)</t>
  </si>
  <si>
    <t xml:space="preserve">Contribution margin ($)</t>
  </si>
  <si>
    <t xml:space="preserve">Contribution margin (%)</t>
  </si>
  <si>
    <t xml:space="preserve">Change assumptions (fees, ad reserve, target margin) on the 'Assumptions' tab.</t>
  </si>
  <si>
    <t xml:space="preserve">Product Pricing — Bulk Calculator</t>
  </si>
  <si>
    <t xml:space="preserve">Fill in yellow cells (name, cost, shipping) for each product. Everything else auto-calculates.</t>
  </si>
  <si>
    <t xml:space="preserve">Printify cost ($)</t>
  </si>
  <si>
    <t xml:space="preserve">Printify shipping ($)</t>
  </si>
  <si>
    <t xml:space="preserve">Calculated price ($)</t>
  </si>
  <si>
    <t xml:space="preserve">Rounded price ($)</t>
  </si>
  <si>
    <t xml:space="preserve">Premium Hoodie</t>
  </si>
  <si>
    <t xml:space="preserve">Ceramic Mug 11oz</t>
  </si>
  <si>
    <t xml:space="preserve">Canvas Tote Bag</t>
  </si>
  <si>
    <t xml:space="preserve">Poster Print 18x24</t>
  </si>
  <si>
    <t xml:space="preserve">Average (filled rows)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</si>
</sst>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0.029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0.3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0.04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0.25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0.2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0</v>
      </c>
      <c r="C10" s="6" t="s">
        <v>16</v>
      </c>
    </row>
    <row r="13" customFormat="false" ht="15" hidden="false" customHeight="false" outlineLevel="0" collapsed="false">
      <c r="A13" s="8" t="s">
        <v>17</v>
      </c>
    </row>
    <row r="14" customFormat="false" ht="15" hidden="false" customHeight="false" outlineLevel="0" collapsed="false">
      <c r="A14" s="9" t="s">
        <v>18</v>
      </c>
      <c r="B14" s="9"/>
      <c r="C14" s="9"/>
    </row>
    <row r="16" customFormat="false" ht="15" hidden="false" customHeight="false" outlineLevel="0" collapsed="false">
      <c r="A16" s="2" t="s">
        <v>19</v>
      </c>
      <c r="B16" s="2"/>
      <c r="C16" s="2"/>
    </row>
  </sheetData>
  <mergeCells count="4">
    <mergeCell ref="A1:C1"/>
    <mergeCell ref="A2:C2"/>
    <mergeCell ref="A14:C1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20</v>
      </c>
      <c r="B1" s="1"/>
      <c r="C1" s="1"/>
    </row>
    <row r="3" customFormat="false" ht="15" hidden="false" customHeight="false" outlineLevel="0" collapsed="false">
      <c r="A3" s="4" t="s">
        <v>21</v>
      </c>
      <c r="B3" s="10" t="s">
        <v>22</v>
      </c>
      <c r="C3" s="10"/>
    </row>
    <row r="5" customFormat="false" ht="15" hidden="false" customHeight="false" outlineLevel="0" collapsed="false">
      <c r="A5" s="11" t="s">
        <v>23</v>
      </c>
      <c r="B5" s="11"/>
      <c r="C5" s="11"/>
    </row>
    <row r="6" customFormat="false" ht="15" hidden="false" customHeight="false" outlineLevel="0" collapsed="false">
      <c r="A6" s="4" t="s">
        <v>24</v>
      </c>
      <c r="B6" s="7" t="n">
        <v>9</v>
      </c>
      <c r="C6" s="6" t="s">
        <v>25</v>
      </c>
    </row>
    <row r="7" customFormat="false" ht="15" hidden="false" customHeight="false" outlineLevel="0" collapsed="false">
      <c r="A7" s="4" t="s">
        <v>26</v>
      </c>
      <c r="B7" s="7" t="n">
        <v>5</v>
      </c>
      <c r="C7" s="6" t="s">
        <v>27</v>
      </c>
    </row>
    <row r="9" customFormat="false" ht="15" hidden="false" customHeight="false" outlineLevel="0" collapsed="false">
      <c r="A9" s="11" t="s">
        <v>28</v>
      </c>
      <c r="B9" s="11"/>
      <c r="C9" s="11"/>
    </row>
    <row r="10" customFormat="false" ht="15" hidden="false" customHeight="false" outlineLevel="0" collapsed="false">
      <c r="A10" s="12" t="s">
        <v>29</v>
      </c>
      <c r="B10" s="13" t="n">
        <f aca="false">(B6+B7+Assumptions!$B$6)/(1-Assumptions!$B$5-Assumptions!$B$7-Assumptions!$B$8-Assumptions!$B$9-Assumptions!$B$10)</f>
        <v>29.7297297297297</v>
      </c>
      <c r="C10" s="6" t="s">
        <v>30</v>
      </c>
    </row>
    <row r="11" customFormat="false" ht="15" hidden="false" customHeight="false" outlineLevel="0" collapsed="false">
      <c r="A11" s="4" t="s">
        <v>31</v>
      </c>
      <c r="B11" s="14" t="n">
        <f aca="false">ROUNDUP(B10,0)-0.01</f>
        <v>29.99</v>
      </c>
      <c r="C11" s="6" t="s">
        <v>32</v>
      </c>
    </row>
    <row r="13" customFormat="false" ht="15" hidden="false" customHeight="false" outlineLevel="0" collapsed="false">
      <c r="A13" s="11" t="s">
        <v>33</v>
      </c>
      <c r="B13" s="11"/>
      <c r="C13" s="11"/>
    </row>
    <row r="14" customFormat="false" ht="15" hidden="false" customHeight="false" outlineLevel="0" collapsed="false">
      <c r="A14" s="4" t="s">
        <v>34</v>
      </c>
      <c r="B14" s="14" t="n">
        <f aca="false">B11</f>
        <v>29.99</v>
      </c>
    </row>
    <row r="15" customFormat="false" ht="15" hidden="false" customHeight="false" outlineLevel="0" collapsed="false">
      <c r="A15" s="4" t="s">
        <v>35</v>
      </c>
      <c r="B15" s="14" t="n">
        <f aca="false">-B6</f>
        <v>-9</v>
      </c>
    </row>
    <row r="16" customFormat="false" ht="15" hidden="false" customHeight="false" outlineLevel="0" collapsed="false">
      <c r="A16" s="4" t="s">
        <v>36</v>
      </c>
      <c r="B16" s="14" t="n">
        <f aca="false">-B7</f>
        <v>-5</v>
      </c>
    </row>
    <row r="17" customFormat="false" ht="15" hidden="false" customHeight="false" outlineLevel="0" collapsed="false">
      <c r="A17" s="4" t="s">
        <v>37</v>
      </c>
      <c r="B17" s="14" t="n">
        <f aca="false">-(B11*Assumptions!$B$5+Assumptions!$B$6)</f>
        <v>-1.16971</v>
      </c>
    </row>
    <row r="18" customFormat="false" ht="15" hidden="false" customHeight="false" outlineLevel="0" collapsed="false">
      <c r="A18" s="4" t="s">
        <v>38</v>
      </c>
      <c r="B18" s="14" t="n">
        <f aca="false">-B11*Assumptions!$B$7</f>
        <v>-1.1996</v>
      </c>
    </row>
    <row r="19" customFormat="false" ht="15" hidden="false" customHeight="false" outlineLevel="0" collapsed="false">
      <c r="A19" s="4" t="s">
        <v>39</v>
      </c>
      <c r="B19" s="14" t="n">
        <f aca="false">-B11*Assumptions!$B$8</f>
        <v>-7.4975</v>
      </c>
    </row>
    <row r="20" customFormat="false" ht="15" hidden="false" customHeight="false" outlineLevel="0" collapsed="false">
      <c r="A20" s="4" t="s">
        <v>40</v>
      </c>
      <c r="B20" s="14" t="n">
        <f aca="false">-B11*Assumptions!$B$10</f>
        <v>-0</v>
      </c>
    </row>
    <row r="21" customFormat="false" ht="15" hidden="false" customHeight="false" outlineLevel="0" collapsed="false">
      <c r="A21" s="12" t="s">
        <v>41</v>
      </c>
      <c r="B21" s="15" t="n">
        <f aca="false">SUM(B14:B20)</f>
        <v>6.12319</v>
      </c>
    </row>
    <row r="22" customFormat="false" ht="15" hidden="false" customHeight="false" outlineLevel="0" collapsed="false">
      <c r="A22" s="12" t="s">
        <v>42</v>
      </c>
      <c r="B22" s="16" t="n">
        <f aca="false">B21/B11</f>
        <v>0.204174391463821</v>
      </c>
    </row>
    <row r="24" customFormat="false" ht="15" hidden="false" customHeight="false" outlineLevel="0" collapsed="false">
      <c r="A24" s="2" t="s">
        <v>43</v>
      </c>
      <c r="B24" s="2"/>
      <c r="C24" s="2"/>
    </row>
  </sheetData>
  <mergeCells count="6">
    <mergeCell ref="A1:C1"/>
    <mergeCell ref="B3:C3"/>
    <mergeCell ref="A5:C5"/>
    <mergeCell ref="A9:C9"/>
    <mergeCell ref="A13:C1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17" t="s">
        <v>21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41</v>
      </c>
      <c r="G4" s="17" t="s">
        <v>42</v>
      </c>
    </row>
    <row r="5" customFormat="false" ht="15" hidden="false" customHeight="false" outlineLevel="0" collapsed="false">
      <c r="A5" s="10" t="s">
        <v>22</v>
      </c>
      <c r="B5" s="7" t="n">
        <v>9</v>
      </c>
      <c r="C5" s="7" t="n">
        <v>5</v>
      </c>
      <c r="D5" s="14" t="n">
        <f aca="false">(B5+C5+Assumptions!$B$6)/(1-Assumptions!$B$5-Assumptions!$B$7-Assumptions!$B$8-Assumptions!$B$9-Assumptions!$B$10)</f>
        <v>29.7297297297297</v>
      </c>
      <c r="E5" s="14" t="n">
        <f aca="false">ROUNDUP(D5,0)-0.01</f>
        <v>29.99</v>
      </c>
      <c r="F5" s="18" t="n">
        <f aca="false">E5-B5-C5-(E5*Assumptions!$B$5+Assumptions!$B$6)-E5*Assumptions!$B$7-E5*Assumptions!$B$8-E5*Assumptions!$B$10</f>
        <v>6.12319</v>
      </c>
      <c r="G5" s="19" t="n">
        <f aca="false">F5/E5</f>
        <v>0.204174391463821</v>
      </c>
    </row>
    <row r="6" customFormat="false" ht="15" hidden="false" customHeight="false" outlineLevel="0" collapsed="false">
      <c r="A6" s="10" t="s">
        <v>50</v>
      </c>
      <c r="B6" s="7" t="n">
        <v>22</v>
      </c>
      <c r="C6" s="7" t="n">
        <v>6.5</v>
      </c>
      <c r="D6" s="14" t="n">
        <f aca="false">(B6+C6+Assumptions!$B$6)/(1-Assumptions!$B$5-Assumptions!$B$7-Assumptions!$B$8-Assumptions!$B$9-Assumptions!$B$10)</f>
        <v>59.8752598752599</v>
      </c>
      <c r="E6" s="14" t="n">
        <f aca="false">ROUNDUP(D6,0)-0.01</f>
        <v>59.99</v>
      </c>
      <c r="F6" s="18" t="n">
        <f aca="false">E6-B6-C6-(E6*Assumptions!$B$5+Assumptions!$B$6)-E6*Assumptions!$B$7-E6*Assumptions!$B$8-E6*Assumptions!$B$10</f>
        <v>12.05319</v>
      </c>
      <c r="G6" s="19" t="n">
        <f aca="false">F6/E6</f>
        <v>0.200919986664444</v>
      </c>
    </row>
    <row r="7" customFormat="false" ht="15" hidden="false" customHeight="false" outlineLevel="0" collapsed="false">
      <c r="A7" s="10" t="s">
        <v>51</v>
      </c>
      <c r="B7" s="7" t="n">
        <v>6.5</v>
      </c>
      <c r="C7" s="7" t="n">
        <v>4.2</v>
      </c>
      <c r="D7" s="14" t="n">
        <f aca="false">(B7+C7+Assumptions!$B$6)/(1-Assumptions!$B$5-Assumptions!$B$7-Assumptions!$B$8-Assumptions!$B$9-Assumptions!$B$10)</f>
        <v>22.8690228690229</v>
      </c>
      <c r="E7" s="14" t="n">
        <f aca="false">ROUNDUP(D7,0)-0.01</f>
        <v>22.99</v>
      </c>
      <c r="F7" s="18" t="n">
        <f aca="false">E7-B7-C7-(E7*Assumptions!$B$5+Assumptions!$B$6)-E7*Assumptions!$B$7-E7*Assumptions!$B$8-E7*Assumptions!$B$10</f>
        <v>4.65619</v>
      </c>
      <c r="G7" s="19" t="n">
        <f aca="false">F7/E7</f>
        <v>0.202531100478469</v>
      </c>
    </row>
    <row r="8" customFormat="false" ht="15" hidden="false" customHeight="false" outlineLevel="0" collapsed="false">
      <c r="A8" s="10" t="s">
        <v>52</v>
      </c>
      <c r="B8" s="7" t="n">
        <v>8</v>
      </c>
      <c r="C8" s="7" t="n">
        <v>4.8</v>
      </c>
      <c r="D8" s="14" t="n">
        <f aca="false">(B8+C8+Assumptions!$B$6)/(1-Assumptions!$B$5-Assumptions!$B$7-Assumptions!$B$8-Assumptions!$B$9-Assumptions!$B$10)</f>
        <v>27.2349272349272</v>
      </c>
      <c r="E8" s="14" t="n">
        <f aca="false">ROUNDUP(D8,0)-0.01</f>
        <v>27.99</v>
      </c>
      <c r="F8" s="18" t="n">
        <f aca="false">E8-B8-C8-(E8*Assumptions!$B$5+Assumptions!$B$6)-E8*Assumptions!$B$7-E8*Assumptions!$B$8-E8*Assumptions!$B$10</f>
        <v>5.96119</v>
      </c>
      <c r="G8" s="19" t="n">
        <f aca="false">F8/E8</f>
        <v>0.212975705609146</v>
      </c>
    </row>
    <row r="9" customFormat="false" ht="15" hidden="false" customHeight="false" outlineLevel="0" collapsed="false">
      <c r="A9" s="10" t="s">
        <v>53</v>
      </c>
      <c r="B9" s="7" t="n">
        <v>7</v>
      </c>
      <c r="C9" s="7" t="n">
        <v>5.5</v>
      </c>
      <c r="D9" s="14" t="n">
        <f aca="false">(B9+C9+Assumptions!$B$6)/(1-Assumptions!$B$5-Assumptions!$B$7-Assumptions!$B$8-Assumptions!$B$9-Assumptions!$B$10)</f>
        <v>26.6112266112266</v>
      </c>
      <c r="E9" s="14" t="n">
        <f aca="false">ROUNDUP(D9,0)-0.01</f>
        <v>26.99</v>
      </c>
      <c r="F9" s="18" t="n">
        <f aca="false">E9-B9-C9-(E9*Assumptions!$B$5+Assumptions!$B$6)-E9*Assumptions!$B$7-E9*Assumptions!$B$8-E9*Assumptions!$B$10</f>
        <v>5.58019</v>
      </c>
      <c r="G9" s="19" t="n">
        <f aca="false">F9/E9</f>
        <v>0.206750277880697</v>
      </c>
    </row>
    <row r="10" customFormat="false" ht="15" hidden="false" customHeight="false" outlineLevel="0" collapsed="false">
      <c r="A10" s="10"/>
      <c r="B10" s="7"/>
      <c r="C10" s="7"/>
      <c r="D10" s="14" t="str">
        <f aca="false">IF(AND(B10="",C10=""),"",(B10+C10+Assumptions!$B$6)/(1-Assumptions!$B$5-Assumptions!$B$7-Assumptions!$B$8-Assumptions!$B$9-Assumptions!$B$10))</f>
        <v/>
      </c>
      <c r="E10" s="14" t="str">
        <f aca="false">IF(D10="","",ROUNDUP(D10,0)-0.01)</f>
        <v/>
      </c>
      <c r="F10" s="18" t="str">
        <f aca="false">IF(E10="","",E10-B10-C10-(E10*Assumptions!$B$5+Assumptions!$B$6)-E10*Assumptions!$B$7-E10*Assumptions!$B$8-E10*Assumptions!$B$10)</f>
        <v/>
      </c>
      <c r="G10" s="19" t="str">
        <f aca="false">IF(F10="","",F10/E10)</f>
        <v/>
      </c>
    </row>
    <row r="11" customFormat="false" ht="15" hidden="false" customHeight="false" outlineLevel="0" collapsed="false">
      <c r="A11" s="10"/>
      <c r="B11" s="7"/>
      <c r="C11" s="7"/>
      <c r="D11" s="14" t="str">
        <f aca="false">IF(AND(B11="",C11=""),"",(B11+C11+Assumptions!$B$6)/(1-Assumptions!$B$5-Assumptions!$B$7-Assumptions!$B$8-Assumptions!$B$9-Assumptions!$B$10))</f>
        <v/>
      </c>
      <c r="E11" s="14" t="str">
        <f aca="false">IF(D11="","",ROUNDUP(D11,0)-0.01)</f>
        <v/>
      </c>
      <c r="F11" s="18" t="str">
        <f aca="false">IF(E11="","",E11-B11-C11-(E11*Assumptions!$B$5+Assumptions!$B$6)-E11*Assumptions!$B$7-E11*Assumptions!$B$8-E11*Assumptions!$B$10)</f>
        <v/>
      </c>
      <c r="G11" s="19" t="str">
        <f aca="false">IF(F11="","",F11/E11)</f>
        <v/>
      </c>
    </row>
    <row r="12" customFormat="false" ht="15" hidden="false" customHeight="false" outlineLevel="0" collapsed="false">
      <c r="A12" s="10"/>
      <c r="B12" s="7"/>
      <c r="C12" s="7"/>
      <c r="D12" s="14" t="str">
        <f aca="false">IF(AND(B12="",C12=""),"",(B12+C12+Assumptions!$B$6)/(1-Assumptions!$B$5-Assumptions!$B$7-Assumptions!$B$8-Assumptions!$B$9-Assumptions!$B$10))</f>
        <v/>
      </c>
      <c r="E12" s="14" t="str">
        <f aca="false">IF(D12="","",ROUNDUP(D12,0)-0.01)</f>
        <v/>
      </c>
      <c r="F12" s="18" t="str">
        <f aca="false">IF(E12="","",E12-B12-C12-(E12*Assumptions!$B$5+Assumptions!$B$6)-E12*Assumptions!$B$7-E12*Assumptions!$B$8-E12*Assumptions!$B$10)</f>
        <v/>
      </c>
      <c r="G12" s="19" t="str">
        <f aca="false">IF(F12="","",F12/E12)</f>
        <v/>
      </c>
    </row>
    <row r="13" customFormat="false" ht="15" hidden="false" customHeight="false" outlineLevel="0" collapsed="false">
      <c r="A13" s="10"/>
      <c r="B13" s="7"/>
      <c r="C13" s="7"/>
      <c r="D13" s="14" t="str">
        <f aca="false">IF(AND(B13="",C13=""),"",(B13+C13+Assumptions!$B$6)/(1-Assumptions!$B$5-Assumptions!$B$7-Assumptions!$B$8-Assumptions!$B$9-Assumptions!$B$10))</f>
        <v/>
      </c>
      <c r="E13" s="14" t="str">
        <f aca="false">IF(D13="","",ROUNDUP(D13,0)-0.01)</f>
        <v/>
      </c>
      <c r="F13" s="18" t="str">
        <f aca="false">IF(E13="","",E13-B13-C13-(E13*Assumptions!$B$5+Assumptions!$B$6)-E13*Assumptions!$B$7-E13*Assumptions!$B$8-E13*Assumptions!$B$10)</f>
        <v/>
      </c>
      <c r="G13" s="19" t="str">
        <f aca="false">IF(F13="","",F13/E13)</f>
        <v/>
      </c>
    </row>
    <row r="14" customFormat="false" ht="15" hidden="false" customHeight="false" outlineLevel="0" collapsed="false">
      <c r="A14" s="10"/>
      <c r="B14" s="7"/>
      <c r="C14" s="7"/>
      <c r="D14" s="14" t="str">
        <f aca="false">IF(AND(B14="",C14=""),"",(B14+C14+Assumptions!$B$6)/(1-Assumptions!$B$5-Assumptions!$B$7-Assumptions!$B$8-Assumptions!$B$9-Assumptions!$B$10))</f>
        <v/>
      </c>
      <c r="E14" s="14" t="str">
        <f aca="false">IF(D14="","",ROUNDUP(D14,0)-0.01)</f>
        <v/>
      </c>
      <c r="F14" s="18" t="str">
        <f aca="false">IF(E14="","",E14-B14-C14-(E14*Assumptions!$B$5+Assumptions!$B$6)-E14*Assumptions!$B$7-E14*Assumptions!$B$8-E14*Assumptions!$B$10)</f>
        <v/>
      </c>
      <c r="G14" s="19" t="str">
        <f aca="false">IF(F14="","",F14/E14)</f>
        <v/>
      </c>
    </row>
    <row r="15" customFormat="false" ht="15" hidden="false" customHeight="false" outlineLevel="0" collapsed="false">
      <c r="A15" s="10"/>
      <c r="B15" s="7"/>
      <c r="C15" s="7"/>
      <c r="D15" s="14" t="str">
        <f aca="false">IF(AND(B15="",C15=""),"",(B15+C15+Assumptions!$B$6)/(1-Assumptions!$B$5-Assumptions!$B$7-Assumptions!$B$8-Assumptions!$B$9-Assumptions!$B$10))</f>
        <v/>
      </c>
      <c r="E15" s="14" t="str">
        <f aca="false">IF(D15="","",ROUNDUP(D15,0)-0.01)</f>
        <v/>
      </c>
      <c r="F15" s="18" t="str">
        <f aca="false">IF(E15="","",E15-B15-C15-(E15*Assumptions!$B$5+Assumptions!$B$6)-E15*Assumptions!$B$7-E15*Assumptions!$B$8-E15*Assumptions!$B$10)</f>
        <v/>
      </c>
      <c r="G15" s="19" t="str">
        <f aca="false">IF(F15="","",F15/E15)</f>
        <v/>
      </c>
    </row>
    <row r="16" customFormat="false" ht="15" hidden="false" customHeight="false" outlineLevel="0" collapsed="false">
      <c r="A16" s="10"/>
      <c r="B16" s="7"/>
      <c r="C16" s="7"/>
      <c r="D16" s="14" t="str">
        <f aca="false">IF(AND(B16="",C16=""),"",(B16+C16+Assumptions!$B$6)/(1-Assumptions!$B$5-Assumptions!$B$7-Assumptions!$B$8-Assumptions!$B$9-Assumptions!$B$10))</f>
        <v/>
      </c>
      <c r="E16" s="14" t="str">
        <f aca="false">IF(D16="","",ROUNDUP(D16,0)-0.01)</f>
        <v/>
      </c>
      <c r="F16" s="18" t="str">
        <f aca="false">IF(E16="","",E16-B16-C16-(E16*Assumptions!$B$5+Assumptions!$B$6)-E16*Assumptions!$B$7-E16*Assumptions!$B$8-E16*Assumptions!$B$10)</f>
        <v/>
      </c>
      <c r="G16" s="19" t="str">
        <f aca="false">IF(F16="","",F16/E16)</f>
        <v/>
      </c>
    </row>
    <row r="17" customFormat="false" ht="15" hidden="false" customHeight="false" outlineLevel="0" collapsed="false">
      <c r="A17" s="10"/>
      <c r="B17" s="7"/>
      <c r="C17" s="7"/>
      <c r="D17" s="14" t="str">
        <f aca="false">IF(AND(B17="",C17=""),"",(B17+C17+Assumptions!$B$6)/(1-Assumptions!$B$5-Assumptions!$B$7-Assumptions!$B$8-Assumptions!$B$9-Assumptions!$B$10))</f>
        <v/>
      </c>
      <c r="E17" s="14" t="str">
        <f aca="false">IF(D17="","",ROUNDUP(D17,0)-0.01)</f>
        <v/>
      </c>
      <c r="F17" s="18" t="str">
        <f aca="false">IF(E17="","",E17-B17-C17-(E17*Assumptions!$B$5+Assumptions!$B$6)-E17*Assumptions!$B$7-E17*Assumptions!$B$8-E17*Assumptions!$B$10)</f>
        <v/>
      </c>
      <c r="G17" s="19" t="str">
        <f aca="false">IF(F17="","",F17/E17)</f>
        <v/>
      </c>
    </row>
    <row r="18" customFormat="false" ht="15" hidden="false" customHeight="false" outlineLevel="0" collapsed="false">
      <c r="A18" s="10"/>
      <c r="B18" s="7"/>
      <c r="C18" s="7"/>
      <c r="D18" s="14" t="str">
        <f aca="false">IF(AND(B18="",C18=""),"",(B18+C18+Assumptions!$B$6)/(1-Assumptions!$B$5-Assumptions!$B$7-Assumptions!$B$8-Assumptions!$B$9-Assumptions!$B$10))</f>
        <v/>
      </c>
      <c r="E18" s="14" t="str">
        <f aca="false">IF(D18="","",ROUNDUP(D18,0)-0.01)</f>
        <v/>
      </c>
      <c r="F18" s="18" t="str">
        <f aca="false">IF(E18="","",E18-B18-C18-(E18*Assumptions!$B$5+Assumptions!$B$6)-E18*Assumptions!$B$7-E18*Assumptions!$B$8-E18*Assumptions!$B$10)</f>
        <v/>
      </c>
      <c r="G18" s="19" t="str">
        <f aca="false">IF(F18="","",F18/E18)</f>
        <v/>
      </c>
    </row>
    <row r="19" customFormat="false" ht="15" hidden="false" customHeight="false" outlineLevel="0" collapsed="false">
      <c r="A19" s="10"/>
      <c r="B19" s="7"/>
      <c r="C19" s="7"/>
      <c r="D19" s="14" t="str">
        <f aca="false">IF(AND(B19="",C19=""),"",(B19+C19+Assumptions!$B$6)/(1-Assumptions!$B$5-Assumptions!$B$7-Assumptions!$B$8-Assumptions!$B$9-Assumptions!$B$10))</f>
        <v/>
      </c>
      <c r="E19" s="14" t="str">
        <f aca="false">IF(D19="","",ROUNDUP(D19,0)-0.01)</f>
        <v/>
      </c>
      <c r="F19" s="18" t="str">
        <f aca="false">IF(E19="","",E19-B19-C19-(E19*Assumptions!$B$5+Assumptions!$B$6)-E19*Assumptions!$B$7-E19*Assumptions!$B$8-E19*Assumptions!$B$10)</f>
        <v/>
      </c>
      <c r="G19" s="19" t="str">
        <f aca="false">IF(F19="","",F19/E19)</f>
        <v/>
      </c>
    </row>
    <row r="22" customFormat="false" ht="15" hidden="false" customHeight="false" outlineLevel="0" collapsed="false">
      <c r="A22" s="12" t="s">
        <v>54</v>
      </c>
      <c r="E22" s="20" t="n">
        <f aca="false">IFERROR(AVERAGE(E5:E20),"")</f>
        <v>33.59</v>
      </c>
      <c r="F22" s="20" t="n">
        <f aca="false">IFERROR(AVERAGE(F5:F20),"")</f>
        <v>6.87479</v>
      </c>
      <c r="G22" s="21" t="n">
        <f aca="false">IFERROR(AVERAGE(G5:G20),"")</f>
        <v>0.205470292419315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2026-08-13T15:49:32Z</dcterms:created>
  <dc:creator>openpyxl</dc:creator>
  <dc:description/>
  <dc:language>en-US</dc:language>
  <cp:lastModifiedBy/>
  <dcterms:modified xsi:type="dcterms:W3CDTF">2026-08-13T15:49:32Z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